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e-download\"/>
    </mc:Choice>
  </mc:AlternateContent>
  <xr:revisionPtr revIDLastSave="0" documentId="13_ncr:1_{9E95229A-7280-4A24-A28C-A97171114E22}" xr6:coauthVersionLast="36" xr6:coauthVersionMax="47" xr10:uidLastSave="{00000000-0000-0000-0000-000000000000}"/>
  <bookViews>
    <workbookView xWindow="0" yWindow="0" windowWidth="28800" windowHeight="12375" xr2:uid="{E41D4205-CB2A-4377-B980-50AD451623FA}"/>
  </bookViews>
  <sheets>
    <sheet name="CBA" sheetId="1" r:id="rId1"/>
    <sheet name="Q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B11" i="1"/>
  <c r="C16" i="1" l="1"/>
  <c r="C17" i="1" s="1"/>
  <c r="B13" i="1"/>
  <c r="C13" i="1"/>
  <c r="D13" i="1"/>
  <c r="E13" i="1"/>
  <c r="F13" i="1"/>
  <c r="B29" i="1"/>
  <c r="B28" i="1"/>
  <c r="B27" i="1"/>
  <c r="G7" i="2"/>
  <c r="G6" i="2"/>
  <c r="G5" i="2"/>
  <c r="G4" i="2"/>
  <c r="G3" i="2"/>
  <c r="D5" i="1"/>
  <c r="C5" i="1"/>
  <c r="E5" i="1"/>
  <c r="F5" i="1"/>
  <c r="B5" i="1"/>
  <c r="B17" i="1" l="1"/>
  <c r="F11" i="1" l="1"/>
  <c r="E11" i="1"/>
  <c r="D11" i="1"/>
  <c r="C18" i="1" l="1"/>
  <c r="C19" i="1" s="1"/>
  <c r="D17" i="1"/>
  <c r="E17" i="1"/>
  <c r="F17" i="1"/>
  <c r="C21" i="1" l="1"/>
  <c r="E18" i="1"/>
  <c r="E19" i="1" s="1"/>
  <c r="E21" i="1" s="1"/>
  <c r="D18" i="1"/>
  <c r="F18" i="1"/>
  <c r="F19" i="1" s="1"/>
  <c r="F21" i="1" s="1"/>
  <c r="B18" i="1"/>
  <c r="B19" i="1" l="1"/>
  <c r="B21" i="1" s="1"/>
  <c r="B20" i="1"/>
  <c r="C20" i="1" s="1"/>
  <c r="D19" i="1"/>
  <c r="D21" i="1" s="1"/>
  <c r="D20" i="1" l="1"/>
  <c r="B22" i="1" s="1"/>
  <c r="C22" i="1" s="1"/>
  <c r="E20" i="1" l="1"/>
  <c r="F20" i="1" s="1"/>
</calcChain>
</file>

<file path=xl/sharedStrings.xml><?xml version="1.0" encoding="utf-8"?>
<sst xmlns="http://schemas.openxmlformats.org/spreadsheetml/2006/main" count="111" uniqueCount="70">
  <si>
    <t>BENEFITS</t>
  </si>
  <si>
    <t>Table [#]</t>
  </si>
  <si>
    <t>Interaction Capability of the Proposed System</t>
  </si>
  <si>
    <t>INTERACTION CAPABILITY</t>
  </si>
  <si>
    <t>E</t>
  </si>
  <si>
    <t>VS</t>
  </si>
  <si>
    <t>S</t>
  </si>
  <si>
    <t>F</t>
  </si>
  <si>
    <t>P</t>
  </si>
  <si>
    <t>WM</t>
  </si>
  <si>
    <t>INTERPRETATION</t>
  </si>
  <si>
    <t>IC 1</t>
  </si>
  <si>
    <t>IC 2</t>
  </si>
  <si>
    <t>IC 3</t>
  </si>
  <si>
    <t>IC 4</t>
  </si>
  <si>
    <t>IC 5</t>
  </si>
  <si>
    <t>Performance Efficiency of the Proposed System</t>
  </si>
  <si>
    <t>PE 1</t>
  </si>
  <si>
    <t>PE 2</t>
  </si>
  <si>
    <t>PE 3</t>
  </si>
  <si>
    <t>PE 4</t>
  </si>
  <si>
    <t>PE 5</t>
  </si>
  <si>
    <t>OVERALL</t>
  </si>
  <si>
    <t>PERFORMANCE EFFICIENCY</t>
  </si>
  <si>
    <t>Functional Suitability of the Proposed System</t>
  </si>
  <si>
    <t>FUNCITONAL SUITABILITY</t>
  </si>
  <si>
    <t>FS 1</t>
  </si>
  <si>
    <t>FS 2</t>
  </si>
  <si>
    <t>FS 3</t>
  </si>
  <si>
    <t>FS 4</t>
  </si>
  <si>
    <t>FS 5</t>
  </si>
  <si>
    <t>Reliability of the Proposed System</t>
  </si>
  <si>
    <t>RELIABILITY</t>
  </si>
  <si>
    <t>R 1</t>
  </si>
  <si>
    <t>R 2</t>
  </si>
  <si>
    <t>R 3</t>
  </si>
  <si>
    <t>R 4</t>
  </si>
  <si>
    <t>R 5</t>
  </si>
  <si>
    <t>Security of the Proposed System</t>
  </si>
  <si>
    <t>SECURITY</t>
  </si>
  <si>
    <t>S 1</t>
  </si>
  <si>
    <t>S 2</t>
  </si>
  <si>
    <t>S 3</t>
  </si>
  <si>
    <t>S 4</t>
  </si>
  <si>
    <t>S 5</t>
  </si>
  <si>
    <t xml:space="preserve">TOTAL BENEFITS </t>
  </si>
  <si>
    <t>DEVELOPMENT COST</t>
  </si>
  <si>
    <t>OPERATIONAL COST</t>
  </si>
  <si>
    <t>Php Web Hosting</t>
  </si>
  <si>
    <t>Reduce Printing and Paper Costs</t>
  </si>
  <si>
    <t>Electricty Bill</t>
  </si>
  <si>
    <t>TOTAL DEVELOPMENT COST</t>
  </si>
  <si>
    <t>TOTAL OPERATIONAL COST</t>
  </si>
  <si>
    <t>TOTAL COST</t>
  </si>
  <si>
    <t>NET BENEFIT COST</t>
  </si>
  <si>
    <t>Reduce Revenue Losses</t>
  </si>
  <si>
    <t>Computer</t>
  </si>
  <si>
    <t>Cost Benefit Analysis of the Development of R.P. Habana Inventory and Sales Management System</t>
  </si>
  <si>
    <t>CUMULATIVE NET CASH FLOW</t>
  </si>
  <si>
    <t>FORMULA:</t>
  </si>
  <si>
    <t>Total Dev Cost + Total Op Cost</t>
  </si>
  <si>
    <t>Total Benefits - Total Cost</t>
  </si>
  <si>
    <t>CNCF=Cumulative Net Cash Flow</t>
  </si>
  <si>
    <t>CNCF(of prev year) + NCF(of curr year)</t>
  </si>
  <si>
    <t>NCF=Net Cash Flow</t>
  </si>
  <si>
    <t>RETURN OF INVESTMENT (ROI)</t>
  </si>
  <si>
    <t>Semaphore SMS API</t>
  </si>
  <si>
    <t>PAYBACK PERIOD</t>
  </si>
  <si>
    <t>User Training Fee</t>
  </si>
  <si>
    <t>Developer's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</si>
</sst>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PHP]\ * #,##0.00_);_([$PHP]\ * \(#,##0.00\);_([$PHP]\ * &quot;-&quot;??_);_(@_)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2" xfId="0" applyFont="1" applyBorder="1"/>
    <xf numFmtId="0" fontId="2" fillId="0" borderId="2" xfId="0" applyFont="1" applyBorder="1"/>
    <xf numFmtId="0" fontId="1" fillId="0" borderId="0" xfId="0" applyFont="1"/>
    <xf numFmtId="0" fontId="3" fillId="0" borderId="4" xfId="0" applyFont="1" applyBorder="1"/>
    <xf numFmtId="164" fontId="2" fillId="0" borderId="0" xfId="0" applyNumberFormat="1" applyFont="1"/>
    <xf numFmtId="164" fontId="2" fillId="0" borderId="2" xfId="0" applyNumberFormat="1" applyFont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0" borderId="3" xfId="0" applyBorder="1"/>
    <xf numFmtId="0" fontId="2" fillId="0" borderId="3" xfId="0" applyFont="1" applyBorder="1"/>
    <xf numFmtId="0" fontId="3" fillId="0" borderId="5" xfId="0" applyFont="1" applyBorder="1"/>
    <xf numFmtId="164" fontId="3" fillId="0" borderId="5" xfId="0" applyNumberFormat="1" applyFont="1" applyBorder="1"/>
    <xf numFmtId="0" fontId="0" fillId="0" borderId="0" xfId="0" applyAlignment="1">
      <alignment horizontal="center"/>
    </xf>
    <xf numFmtId="0" fontId="3" fillId="0" borderId="3" xfId="0" applyFont="1" applyBorder="1"/>
    <xf numFmtId="10" fontId="3" fillId="0" borderId="3" xfId="0" applyNumberFormat="1" applyFont="1" applyBorder="1"/>
    <xf numFmtId="165" fontId="1" fillId="0" borderId="3" xfId="0" applyNumberFormat="1" applyFont="1" applyBorder="1"/>
    <xf numFmtId="0" fontId="1" fillId="0" borderId="3" xfId="0" applyFont="1" applyBorder="1"/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264C-6695-4E39-BB66-3650D41321AA}">
  <dimension ref="A1:I34"/>
  <sheetViews>
    <sheetView showGridLines="0" tabSelected="1" zoomScaleNormal="100" workbookViewId="0">
      <selection activeCell="F8" sqref="F8"/>
    </sheetView>
  </sheetViews>
  <sheetFormatPr defaultRowHeight="15" x14ac:dyDescent="0.25"/>
  <cols>
    <col min="1" max="1" width="35.140625" customWidth="1"/>
    <col min="2" max="2" width="21.5703125" customWidth="1"/>
    <col min="3" max="3" width="21.42578125" customWidth="1"/>
    <col min="4" max="5" width="23.85546875" customWidth="1"/>
    <col min="6" max="6" width="23.28515625" customWidth="1"/>
  </cols>
  <sheetData>
    <row r="1" spans="1:9" x14ac:dyDescent="0.25">
      <c r="A1" s="30" t="s">
        <v>57</v>
      </c>
      <c r="B1" s="30"/>
      <c r="C1" s="30"/>
      <c r="D1" s="30"/>
      <c r="E1" s="30"/>
      <c r="F1" s="30"/>
      <c r="G1" s="3"/>
      <c r="H1" s="3"/>
      <c r="I1" s="3"/>
    </row>
    <row r="2" spans="1:9" x14ac:dyDescent="0.25">
      <c r="A2" s="5" t="s">
        <v>0</v>
      </c>
      <c r="B2" s="1">
        <v>2025</v>
      </c>
      <c r="C2" s="1">
        <v>2026</v>
      </c>
      <c r="D2" s="1">
        <v>2027</v>
      </c>
      <c r="E2" s="1">
        <v>2028</v>
      </c>
      <c r="F2" s="1">
        <v>2029</v>
      </c>
      <c r="G2" s="3"/>
      <c r="H2" s="3"/>
      <c r="I2" s="3"/>
    </row>
    <row r="3" spans="1:9" x14ac:dyDescent="0.25">
      <c r="A3" s="3" t="s">
        <v>49</v>
      </c>
      <c r="B3" s="10">
        <v>0</v>
      </c>
      <c r="C3" s="10">
        <v>3500</v>
      </c>
      <c r="D3" s="10">
        <v>3500</v>
      </c>
      <c r="E3" s="10">
        <v>3500</v>
      </c>
      <c r="F3" s="10">
        <v>3500</v>
      </c>
    </row>
    <row r="4" spans="1:9" ht="15.75" thickBot="1" x14ac:dyDescent="0.3">
      <c r="A4" s="7" t="s">
        <v>55</v>
      </c>
      <c r="B4" s="11">
        <v>0</v>
      </c>
      <c r="C4" s="11">
        <v>200000</v>
      </c>
      <c r="D4" s="11">
        <v>200000</v>
      </c>
      <c r="E4" s="11">
        <v>200000</v>
      </c>
      <c r="F4" s="11">
        <v>200000</v>
      </c>
    </row>
    <row r="5" spans="1:9" ht="15.75" thickBot="1" x14ac:dyDescent="0.3">
      <c r="A5" s="6" t="s">
        <v>45</v>
      </c>
      <c r="B5" s="12">
        <f>SUM(B3:B4)</f>
        <v>0</v>
      </c>
      <c r="C5" s="12">
        <f>SUM(C3:C4)</f>
        <v>203500</v>
      </c>
      <c r="D5" s="12">
        <f>SUM(D3:D4)</f>
        <v>203500</v>
      </c>
      <c r="E5" s="12">
        <f>SUM(E3:E4)</f>
        <v>203500</v>
      </c>
      <c r="F5" s="13">
        <f>SUM(F3:F4)</f>
        <v>203500</v>
      </c>
    </row>
    <row r="6" spans="1:9" x14ac:dyDescent="0.25">
      <c r="A6" s="4" t="s">
        <v>46</v>
      </c>
      <c r="B6" s="10"/>
      <c r="C6" s="10"/>
      <c r="D6" s="10"/>
      <c r="E6" s="10"/>
      <c r="F6" s="10"/>
    </row>
    <row r="7" spans="1:9" x14ac:dyDescent="0.25">
      <c r="A7" s="3" t="s">
        <v>69</v>
      </c>
      <c r="B7" s="10">
        <v>285000</v>
      </c>
      <c r="C7" s="10">
        <v>37000</v>
      </c>
      <c r="D7" s="10">
        <v>37000</v>
      </c>
      <c r="E7" s="10">
        <v>37000</v>
      </c>
      <c r="F7" s="10">
        <v>37000</v>
      </c>
    </row>
    <row r="8" spans="1:9" x14ac:dyDescent="0.25">
      <c r="A8" s="3" t="s">
        <v>68</v>
      </c>
      <c r="B8" s="10">
        <v>1500</v>
      </c>
      <c r="C8" s="10">
        <v>0</v>
      </c>
      <c r="D8" s="10">
        <v>0</v>
      </c>
      <c r="E8" s="10">
        <v>0</v>
      </c>
      <c r="F8" s="10">
        <v>37000</v>
      </c>
    </row>
    <row r="9" spans="1:9" x14ac:dyDescent="0.25">
      <c r="A9" s="3" t="s">
        <v>48</v>
      </c>
      <c r="B9" s="10">
        <v>1800</v>
      </c>
      <c r="C9" s="10">
        <v>0</v>
      </c>
      <c r="D9" s="10">
        <v>0</v>
      </c>
      <c r="E9" s="10">
        <v>0</v>
      </c>
      <c r="F9" s="10">
        <v>0</v>
      </c>
    </row>
    <row r="10" spans="1:9" x14ac:dyDescent="0.25">
      <c r="A10" s="3" t="s">
        <v>66</v>
      </c>
      <c r="B10" s="10">
        <v>700</v>
      </c>
      <c r="C10" s="10">
        <v>0</v>
      </c>
      <c r="D10" s="10">
        <v>0</v>
      </c>
      <c r="E10" s="10">
        <v>0</v>
      </c>
      <c r="F10" s="10">
        <v>0</v>
      </c>
    </row>
    <row r="11" spans="1:9" ht="15.75" thickBot="1" x14ac:dyDescent="0.3">
      <c r="A11" s="6" t="s">
        <v>51</v>
      </c>
      <c r="B11" s="12">
        <f>SUM(B7:B10)</f>
        <v>289000</v>
      </c>
      <c r="C11" s="12">
        <f>SUM(C7:C7)</f>
        <v>37000</v>
      </c>
      <c r="D11" s="12">
        <f>SUM(D7:D7)</f>
        <v>37000</v>
      </c>
      <c r="E11" s="12">
        <f>SUM(E7:E7)</f>
        <v>37000</v>
      </c>
      <c r="F11" s="12">
        <f>SUM(F7:F7)</f>
        <v>37000</v>
      </c>
    </row>
    <row r="12" spans="1:9" x14ac:dyDescent="0.25">
      <c r="A12" s="4" t="s">
        <v>47</v>
      </c>
      <c r="B12" s="10"/>
      <c r="C12" s="10"/>
      <c r="D12" s="10"/>
      <c r="E12" s="10"/>
      <c r="F12" s="10"/>
    </row>
    <row r="13" spans="1:9" x14ac:dyDescent="0.25">
      <c r="A13" s="3" t="s">
        <v>50</v>
      </c>
      <c r="B13" s="10">
        <f>78865/7</f>
        <v>11266.428571428571</v>
      </c>
      <c r="C13" s="10">
        <f t="shared" ref="C13:F13" si="0">78865/7</f>
        <v>11266.428571428571</v>
      </c>
      <c r="D13" s="10">
        <f t="shared" si="0"/>
        <v>11266.428571428571</v>
      </c>
      <c r="E13" s="10">
        <f t="shared" si="0"/>
        <v>11266.428571428571</v>
      </c>
      <c r="F13" s="10">
        <f t="shared" si="0"/>
        <v>11266.428571428571</v>
      </c>
    </row>
    <row r="14" spans="1:9" x14ac:dyDescent="0.25">
      <c r="A14" s="3" t="s">
        <v>48</v>
      </c>
      <c r="B14" s="10">
        <v>0</v>
      </c>
      <c r="C14" s="10">
        <v>5300</v>
      </c>
      <c r="D14" s="10">
        <v>0</v>
      </c>
      <c r="E14" s="10">
        <v>0</v>
      </c>
      <c r="F14" s="10">
        <v>0</v>
      </c>
    </row>
    <row r="15" spans="1:9" x14ac:dyDescent="0.25">
      <c r="A15" s="3" t="s">
        <v>66</v>
      </c>
      <c r="B15" s="10">
        <v>0</v>
      </c>
      <c r="C15" s="10">
        <v>2800</v>
      </c>
      <c r="D15" s="10">
        <v>0</v>
      </c>
      <c r="E15" s="10">
        <v>0</v>
      </c>
      <c r="F15" s="10">
        <v>0</v>
      </c>
    </row>
    <row r="16" spans="1:9" x14ac:dyDescent="0.25">
      <c r="A16" s="3" t="s">
        <v>56</v>
      </c>
      <c r="B16" s="10">
        <v>0</v>
      </c>
      <c r="C16" s="10">
        <f>12000*7</f>
        <v>84000</v>
      </c>
      <c r="D16" s="10">
        <v>0</v>
      </c>
      <c r="E16" s="10">
        <v>0</v>
      </c>
      <c r="F16" s="10">
        <v>0</v>
      </c>
    </row>
    <row r="17" spans="1:6" x14ac:dyDescent="0.25">
      <c r="A17" s="23" t="s">
        <v>52</v>
      </c>
      <c r="B17" s="24">
        <f>SUM(B13:B16)</f>
        <v>11266.428571428571</v>
      </c>
      <c r="C17" s="24">
        <f>SUM(C13:C16)</f>
        <v>103366.42857142858</v>
      </c>
      <c r="D17" s="24">
        <f>SUM(D13:D16)</f>
        <v>11266.428571428571</v>
      </c>
      <c r="E17" s="24">
        <f>SUM(E13:E16)</f>
        <v>11266.428571428571</v>
      </c>
      <c r="F17" s="24">
        <f>SUM(F13:F16)</f>
        <v>11266.428571428571</v>
      </c>
    </row>
    <row r="18" spans="1:6" ht="15.75" thickBot="1" x14ac:dyDescent="0.3">
      <c r="A18" s="6" t="s">
        <v>53</v>
      </c>
      <c r="B18" s="12">
        <f>SUM(B17,B11)</f>
        <v>300266.42857142858</v>
      </c>
      <c r="C18" s="12">
        <f>SUM(C17,C11)</f>
        <v>140366.42857142858</v>
      </c>
      <c r="D18" s="12">
        <f>SUM(D17,D11)</f>
        <v>48266.428571428572</v>
      </c>
      <c r="E18" s="12">
        <f>SUM(E17,E11)</f>
        <v>48266.428571428572</v>
      </c>
      <c r="F18" s="12">
        <f>SUM(F17,F11)</f>
        <v>48266.428571428572</v>
      </c>
    </row>
    <row r="19" spans="1:6" ht="15.75" thickBot="1" x14ac:dyDescent="0.3">
      <c r="A19" s="9" t="s">
        <v>54</v>
      </c>
      <c r="B19" s="14">
        <f>B5-B18</f>
        <v>-300266.42857142858</v>
      </c>
      <c r="C19" s="14">
        <f>C5-C18</f>
        <v>63133.57142857142</v>
      </c>
      <c r="D19" s="14">
        <f>D5-D18</f>
        <v>155233.57142857142</v>
      </c>
      <c r="E19" s="14">
        <f>E5-E18</f>
        <v>155233.57142857142</v>
      </c>
      <c r="F19" s="14">
        <f>F5-F18</f>
        <v>155233.57142857142</v>
      </c>
    </row>
    <row r="20" spans="1:6" ht="16.5" thickTop="1" thickBot="1" x14ac:dyDescent="0.3">
      <c r="A20" s="6" t="s">
        <v>58</v>
      </c>
      <c r="B20" s="12">
        <f>B5-B18</f>
        <v>-300266.42857142858</v>
      </c>
      <c r="C20" s="12">
        <f>SUM(B20+C19)</f>
        <v>-237132.85714285716</v>
      </c>
      <c r="D20" s="12">
        <f>SUM(C20+D19)</f>
        <v>-81899.285714285739</v>
      </c>
      <c r="E20" s="12">
        <f>SUM(D20,E19)</f>
        <v>73334.285714285681</v>
      </c>
      <c r="F20" s="12">
        <f>SUM(E20,F19)</f>
        <v>228567.8571428571</v>
      </c>
    </row>
    <row r="21" spans="1:6" ht="15.75" thickBot="1" x14ac:dyDescent="0.3">
      <c r="A21" s="26" t="s">
        <v>65</v>
      </c>
      <c r="B21" s="27">
        <f>(B19/B18)</f>
        <v>-1</v>
      </c>
      <c r="C21" s="27">
        <f t="shared" ref="C21:F21" si="1">(C19/C18)</f>
        <v>0.44977685954618768</v>
      </c>
      <c r="D21" s="27">
        <f t="shared" si="1"/>
        <v>3.2161810190460685</v>
      </c>
      <c r="E21" s="27">
        <f t="shared" si="1"/>
        <v>3.2161810190460685</v>
      </c>
      <c r="F21" s="27">
        <f t="shared" si="1"/>
        <v>3.2161810190460685</v>
      </c>
    </row>
    <row r="22" spans="1:6" ht="15.75" thickBot="1" x14ac:dyDescent="0.3">
      <c r="A22" s="26" t="s">
        <v>67</v>
      </c>
      <c r="B22" s="28">
        <f>3 +ABS(D20)/D19</f>
        <v>3.527587460370778</v>
      </c>
      <c r="C22" s="29" t="str">
        <f>INT(B22) &amp; " years and " &amp; ROUND((B22-INT(B22))*12,0) &amp; " months"</f>
        <v>3 years and 6 months</v>
      </c>
      <c r="D22" s="21"/>
      <c r="E22" s="21"/>
      <c r="F22" s="21"/>
    </row>
    <row r="27" spans="1:6" x14ac:dyDescent="0.25">
      <c r="B27">
        <f>350*7*4</f>
        <v>9800</v>
      </c>
    </row>
    <row r="28" spans="1:6" x14ac:dyDescent="0.25">
      <c r="B28">
        <f>9800*12</f>
        <v>117600</v>
      </c>
    </row>
    <row r="29" spans="1:6" x14ac:dyDescent="0.25">
      <c r="B29">
        <f>117600*3</f>
        <v>352800</v>
      </c>
    </row>
    <row r="30" spans="1:6" x14ac:dyDescent="0.25">
      <c r="A30" s="8" t="s">
        <v>59</v>
      </c>
    </row>
    <row r="31" spans="1:6" x14ac:dyDescent="0.25">
      <c r="A31" s="8" t="s">
        <v>53</v>
      </c>
      <c r="B31" s="25" t="s">
        <v>60</v>
      </c>
      <c r="C31" s="25"/>
    </row>
    <row r="32" spans="1:6" x14ac:dyDescent="0.25">
      <c r="A32" s="8" t="s">
        <v>54</v>
      </c>
      <c r="B32" s="25" t="s">
        <v>61</v>
      </c>
      <c r="C32" s="25"/>
    </row>
    <row r="33" spans="1:5" x14ac:dyDescent="0.25">
      <c r="A33" s="8" t="s">
        <v>58</v>
      </c>
      <c r="B33" s="25" t="s">
        <v>63</v>
      </c>
      <c r="C33" s="25"/>
      <c r="D33" s="25" t="s">
        <v>62</v>
      </c>
      <c r="E33" s="25"/>
    </row>
    <row r="34" spans="1:5" x14ac:dyDescent="0.25">
      <c r="D34" s="25" t="s">
        <v>64</v>
      </c>
      <c r="E34" s="25"/>
    </row>
  </sheetData>
  <mergeCells count="1">
    <mergeCell ref="A1:F1"/>
  </mergeCells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E61F-23DC-47C8-9B55-00B740B2BF2D}">
  <dimension ref="A1:P39"/>
  <sheetViews>
    <sheetView topLeftCell="A40" workbookViewId="0">
      <selection activeCell="G8" sqref="G8"/>
    </sheetView>
  </sheetViews>
  <sheetFormatPr defaultRowHeight="15" x14ac:dyDescent="0.25"/>
  <cols>
    <col min="1" max="1" width="31.140625" customWidth="1"/>
    <col min="2" max="7" width="5.7109375" customWidth="1"/>
    <col min="8" max="8" width="24.42578125" customWidth="1"/>
    <col min="9" max="9" width="23.42578125" customWidth="1"/>
    <col min="10" max="12" width="5.7109375" customWidth="1"/>
    <col min="16" max="16" width="20.140625" customWidth="1"/>
  </cols>
  <sheetData>
    <row r="1" spans="1:16" ht="15.75" thickBot="1" x14ac:dyDescent="0.3">
      <c r="A1" s="17" t="s">
        <v>1</v>
      </c>
      <c r="B1" s="31" t="s">
        <v>2</v>
      </c>
      <c r="C1" s="31"/>
      <c r="D1" s="31"/>
      <c r="E1" s="31"/>
      <c r="F1" s="31"/>
      <c r="G1" s="31"/>
      <c r="H1" s="31"/>
      <c r="I1" s="17" t="s">
        <v>1</v>
      </c>
      <c r="J1" s="31" t="s">
        <v>38</v>
      </c>
      <c r="K1" s="31"/>
      <c r="L1" s="31"/>
      <c r="M1" s="31"/>
      <c r="N1" s="31"/>
      <c r="O1" s="31"/>
      <c r="P1" s="31"/>
    </row>
    <row r="2" spans="1:16" x14ac:dyDescent="0.25">
      <c r="A2" s="15" t="s">
        <v>3</v>
      </c>
      <c r="B2" s="16" t="s">
        <v>4</v>
      </c>
      <c r="C2" s="16" t="s">
        <v>5</v>
      </c>
      <c r="D2" s="16" t="s">
        <v>6</v>
      </c>
      <c r="E2" s="16" t="s">
        <v>7</v>
      </c>
      <c r="F2" s="16" t="s">
        <v>8</v>
      </c>
      <c r="G2" s="16" t="s">
        <v>9</v>
      </c>
      <c r="H2" s="16" t="s">
        <v>10</v>
      </c>
      <c r="I2" s="15" t="s">
        <v>39</v>
      </c>
      <c r="J2" s="16" t="s">
        <v>4</v>
      </c>
      <c r="K2" s="16" t="s">
        <v>5</v>
      </c>
      <c r="L2" s="16" t="s">
        <v>6</v>
      </c>
      <c r="M2" s="16" t="s">
        <v>7</v>
      </c>
      <c r="N2" s="16" t="s">
        <v>8</v>
      </c>
      <c r="O2" s="16" t="s">
        <v>9</v>
      </c>
      <c r="P2" s="16" t="s">
        <v>10</v>
      </c>
    </row>
    <row r="3" spans="1:16" x14ac:dyDescent="0.25">
      <c r="A3" s="2" t="s">
        <v>11</v>
      </c>
      <c r="G3" t="e">
        <f>(((B3*5)+(C3*4)+(D3*3)+(E3*2)+(F3*1))/SUM(B3:F3))</f>
        <v>#DIV/0!</v>
      </c>
      <c r="I3" s="2" t="s">
        <v>40</v>
      </c>
    </row>
    <row r="4" spans="1:16" x14ac:dyDescent="0.25">
      <c r="A4" s="2" t="s">
        <v>12</v>
      </c>
      <c r="G4" t="e">
        <f>(((B4*5)+(C4*4)+(D4*3)+(E4*2)+(F4*1))/SUM(B4:F4))</f>
        <v>#DIV/0!</v>
      </c>
      <c r="I4" s="2" t="s">
        <v>41</v>
      </c>
    </row>
    <row r="5" spans="1:16" x14ac:dyDescent="0.25">
      <c r="A5" s="2" t="s">
        <v>13</v>
      </c>
      <c r="G5" t="e">
        <f>(((B5*5)+(C5*4)+(D5*3)+(E5*2)+(F5*1))/SUM(B5:F5))</f>
        <v>#DIV/0!</v>
      </c>
      <c r="I5" s="2" t="s">
        <v>42</v>
      </c>
    </row>
    <row r="6" spans="1:16" x14ac:dyDescent="0.25">
      <c r="A6" s="2" t="s">
        <v>14</v>
      </c>
      <c r="G6" t="e">
        <f>(((B6*5)+(C6*4)+(D6*3)+(E6*2)+(F6*1))/SUM(B6:F6))</f>
        <v>#DIV/0!</v>
      </c>
      <c r="I6" s="2" t="s">
        <v>43</v>
      </c>
    </row>
    <row r="7" spans="1:16" ht="15.75" thickBot="1" x14ac:dyDescent="0.3">
      <c r="A7" s="18" t="s">
        <v>15</v>
      </c>
      <c r="B7" s="19"/>
      <c r="C7" s="19"/>
      <c r="D7" s="19"/>
      <c r="E7" s="19"/>
      <c r="F7" s="19"/>
      <c r="G7" s="19" t="e">
        <f>(((B7*5)+(C7*4)+(D7*3)+(E7*2)+(F7*1))/SUM(B7:F7))</f>
        <v>#DIV/0!</v>
      </c>
      <c r="H7" s="19"/>
      <c r="I7" s="18" t="s">
        <v>44</v>
      </c>
      <c r="J7" s="19"/>
      <c r="K7" s="19"/>
      <c r="L7" s="19"/>
      <c r="M7" s="19"/>
      <c r="N7" s="19"/>
      <c r="O7" s="19"/>
      <c r="P7" s="19"/>
    </row>
    <row r="8" spans="1:16" ht="15.75" thickBot="1" x14ac:dyDescent="0.3">
      <c r="A8" s="20" t="s">
        <v>22</v>
      </c>
      <c r="B8" s="21"/>
      <c r="C8" s="21"/>
      <c r="D8" s="21"/>
      <c r="E8" s="21"/>
      <c r="F8" s="21"/>
      <c r="G8" s="21"/>
      <c r="H8" s="21"/>
      <c r="I8" s="20" t="s">
        <v>22</v>
      </c>
      <c r="J8" s="21"/>
      <c r="K8" s="21"/>
      <c r="L8" s="21"/>
      <c r="M8" s="21"/>
      <c r="N8" s="21"/>
      <c r="O8" s="21"/>
      <c r="P8" s="21"/>
    </row>
    <row r="14" spans="1:16" ht="15.75" thickBot="1" x14ac:dyDescent="0.3">
      <c r="A14" s="17" t="s">
        <v>1</v>
      </c>
      <c r="B14" s="31" t="s">
        <v>16</v>
      </c>
      <c r="C14" s="31"/>
      <c r="D14" s="31"/>
      <c r="E14" s="31"/>
      <c r="F14" s="31"/>
      <c r="G14" s="31"/>
      <c r="H14" s="31"/>
    </row>
    <row r="15" spans="1:16" x14ac:dyDescent="0.25">
      <c r="A15" s="15" t="s">
        <v>23</v>
      </c>
      <c r="B15" s="16" t="s">
        <v>4</v>
      </c>
      <c r="C15" s="16" t="s">
        <v>5</v>
      </c>
      <c r="D15" s="16" t="s">
        <v>6</v>
      </c>
      <c r="E15" s="16" t="s">
        <v>7</v>
      </c>
      <c r="F15" s="16" t="s">
        <v>8</v>
      </c>
      <c r="G15" s="16" t="s">
        <v>9</v>
      </c>
      <c r="H15" s="16" t="s">
        <v>10</v>
      </c>
    </row>
    <row r="16" spans="1:16" x14ac:dyDescent="0.25">
      <c r="A16" s="2" t="s">
        <v>17</v>
      </c>
    </row>
    <row r="17" spans="1:8" x14ac:dyDescent="0.25">
      <c r="A17" s="2" t="s">
        <v>18</v>
      </c>
    </row>
    <row r="18" spans="1:8" x14ac:dyDescent="0.25">
      <c r="A18" s="2" t="s">
        <v>19</v>
      </c>
    </row>
    <row r="19" spans="1:8" x14ac:dyDescent="0.25">
      <c r="A19" s="2" t="s">
        <v>20</v>
      </c>
    </row>
    <row r="20" spans="1:8" ht="15.75" thickBot="1" x14ac:dyDescent="0.3">
      <c r="A20" s="18" t="s">
        <v>21</v>
      </c>
      <c r="B20" s="19"/>
      <c r="C20" s="19"/>
      <c r="D20" s="19"/>
      <c r="E20" s="19"/>
      <c r="F20" s="19"/>
      <c r="G20" s="19"/>
      <c r="H20" s="19"/>
    </row>
    <row r="21" spans="1:8" ht="15.75" thickBot="1" x14ac:dyDescent="0.3">
      <c r="A21" s="20" t="s">
        <v>22</v>
      </c>
      <c r="B21" s="21"/>
      <c r="C21" s="21"/>
      <c r="D21" s="21"/>
      <c r="E21" s="21"/>
      <c r="F21" s="21"/>
      <c r="G21" s="21"/>
      <c r="H21" s="21"/>
    </row>
    <row r="23" spans="1:8" ht="15.75" thickBot="1" x14ac:dyDescent="0.3">
      <c r="A23" s="17" t="s">
        <v>1</v>
      </c>
      <c r="B23" s="31" t="s">
        <v>24</v>
      </c>
      <c r="C23" s="31"/>
      <c r="D23" s="31"/>
      <c r="E23" s="31"/>
      <c r="F23" s="31"/>
      <c r="G23" s="31"/>
      <c r="H23" s="31"/>
    </row>
    <row r="24" spans="1:8" ht="15.75" thickBot="1" x14ac:dyDescent="0.3">
      <c r="A24" s="22" t="s">
        <v>25</v>
      </c>
      <c r="B24" s="20" t="s">
        <v>4</v>
      </c>
      <c r="C24" s="20" t="s">
        <v>5</v>
      </c>
      <c r="D24" s="20" t="s">
        <v>6</v>
      </c>
      <c r="E24" s="20" t="s">
        <v>7</v>
      </c>
      <c r="F24" s="20" t="s">
        <v>8</v>
      </c>
      <c r="G24" s="20" t="s">
        <v>9</v>
      </c>
      <c r="H24" s="20" t="s">
        <v>10</v>
      </c>
    </row>
    <row r="25" spans="1:8" x14ac:dyDescent="0.25">
      <c r="A25" s="2" t="s">
        <v>26</v>
      </c>
    </row>
    <row r="26" spans="1:8" x14ac:dyDescent="0.25">
      <c r="A26" s="2" t="s">
        <v>27</v>
      </c>
    </row>
    <row r="27" spans="1:8" x14ac:dyDescent="0.25">
      <c r="A27" s="2" t="s">
        <v>28</v>
      </c>
    </row>
    <row r="28" spans="1:8" x14ac:dyDescent="0.25">
      <c r="A28" s="2" t="s">
        <v>29</v>
      </c>
    </row>
    <row r="29" spans="1:8" ht="15.75" thickBot="1" x14ac:dyDescent="0.3">
      <c r="A29" s="18" t="s">
        <v>30</v>
      </c>
      <c r="B29" s="19"/>
      <c r="C29" s="19"/>
      <c r="D29" s="19"/>
      <c r="E29" s="19"/>
      <c r="F29" s="19"/>
      <c r="G29" s="19"/>
      <c r="H29" s="19"/>
    </row>
    <row r="30" spans="1:8" ht="15.75" thickBot="1" x14ac:dyDescent="0.3">
      <c r="A30" s="20" t="s">
        <v>22</v>
      </c>
      <c r="B30" s="21"/>
      <c r="C30" s="21"/>
      <c r="D30" s="21"/>
      <c r="E30" s="21"/>
      <c r="F30" s="21"/>
      <c r="G30" s="21"/>
      <c r="H30" s="21"/>
    </row>
    <row r="32" spans="1:8" ht="15.75" thickBot="1" x14ac:dyDescent="0.3">
      <c r="A32" s="17" t="s">
        <v>1</v>
      </c>
      <c r="B32" s="31" t="s">
        <v>31</v>
      </c>
      <c r="C32" s="31"/>
      <c r="D32" s="31"/>
      <c r="E32" s="31"/>
      <c r="F32" s="31"/>
      <c r="G32" s="31"/>
      <c r="H32" s="31"/>
    </row>
    <row r="33" spans="1:8" ht="15.75" thickBot="1" x14ac:dyDescent="0.3">
      <c r="A33" s="22" t="s">
        <v>32</v>
      </c>
      <c r="B33" s="20" t="s">
        <v>4</v>
      </c>
      <c r="C33" s="20" t="s">
        <v>5</v>
      </c>
      <c r="D33" s="20" t="s">
        <v>6</v>
      </c>
      <c r="E33" s="20" t="s">
        <v>7</v>
      </c>
      <c r="F33" s="20" t="s">
        <v>8</v>
      </c>
      <c r="G33" s="20" t="s">
        <v>9</v>
      </c>
      <c r="H33" s="20" t="s">
        <v>10</v>
      </c>
    </row>
    <row r="34" spans="1:8" x14ac:dyDescent="0.25">
      <c r="A34" s="2" t="s">
        <v>33</v>
      </c>
    </row>
    <row r="35" spans="1:8" x14ac:dyDescent="0.25">
      <c r="A35" s="2" t="s">
        <v>34</v>
      </c>
    </row>
    <row r="36" spans="1:8" x14ac:dyDescent="0.25">
      <c r="A36" s="2" t="s">
        <v>35</v>
      </c>
    </row>
    <row r="37" spans="1:8" x14ac:dyDescent="0.25">
      <c r="A37" s="2" t="s">
        <v>36</v>
      </c>
    </row>
    <row r="38" spans="1:8" ht="15.75" thickBot="1" x14ac:dyDescent="0.3">
      <c r="A38" s="18" t="s">
        <v>37</v>
      </c>
      <c r="B38" s="19"/>
      <c r="C38" s="19"/>
      <c r="D38" s="19"/>
      <c r="E38" s="19"/>
      <c r="F38" s="19"/>
      <c r="G38" s="19"/>
      <c r="H38" s="19"/>
    </row>
    <row r="39" spans="1:8" ht="15.75" thickBot="1" x14ac:dyDescent="0.3">
      <c r="A39" s="20" t="s">
        <v>22</v>
      </c>
      <c r="B39" s="21"/>
      <c r="C39" s="21"/>
      <c r="D39" s="21"/>
      <c r="E39" s="21"/>
      <c r="F39" s="21"/>
      <c r="G39" s="21"/>
      <c r="H39" s="21"/>
    </row>
  </sheetData>
  <mergeCells count="5">
    <mergeCell ref="B14:H14"/>
    <mergeCell ref="B23:H23"/>
    <mergeCell ref="B32:H32"/>
    <mergeCell ref="J1:P1"/>
    <mergeCell ref="B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CBA</vt:lpstr>
      <vt:lpstr>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</cp:lastModifiedBy>
  <cp:lastPrinted>2025-10-31T09:03:08Z</cp:lastPrinted>
  <dcterms:created xsi:type="dcterms:W3CDTF">2025-08-12T07:19:14Z</dcterms:created>
  <dcterms:modified xsi:type="dcterms:W3CDTF">2025-12-02T12:31:49Z</dcterms:modified>
</cp:coreProperties>
</file>